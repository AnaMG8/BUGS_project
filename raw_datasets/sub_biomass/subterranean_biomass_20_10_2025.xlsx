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/Dropbox/collaborations/KMP/bugs/invertebrate_data_analysis/subterranean/data_get_from_mon_sheets_subterr/"/>
    </mc:Choice>
  </mc:AlternateContent>
  <xr:revisionPtr revIDLastSave="0" documentId="8_{B136F92C-A2D1-2140-98E7-5E7A1201E4A2}" xr6:coauthVersionLast="47" xr6:coauthVersionMax="47" xr10:uidLastSave="{00000000-0000-0000-0000-000000000000}"/>
  <bookViews>
    <workbookView xWindow="3220" yWindow="760" windowWidth="26340" windowHeight="13320" xr2:uid="{4D6B2CFA-8C3D-4FC3-AD50-96ED00AC6255}"/>
  </bookViews>
  <sheets>
    <sheet name="Sheet1" sheetId="1" r:id="rId1"/>
  </sheets>
  <definedNames>
    <definedName name="_xlnm._FilterDatabase" localSheetId="0" hidden="1">Sheet1!$A$1:$E$15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2" i="1"/>
</calcChain>
</file>

<file path=xl/sharedStrings.xml><?xml version="1.0" encoding="utf-8"?>
<sst xmlns="http://schemas.openxmlformats.org/spreadsheetml/2006/main" count="45" uniqueCount="44">
  <si>
    <t>Time Stamp</t>
  </si>
  <si>
    <t>Location</t>
  </si>
  <si>
    <t>Weight</t>
  </si>
  <si>
    <t>Biomass</t>
  </si>
  <si>
    <t>COMMENTS</t>
  </si>
  <si>
    <t>1 carab</t>
  </si>
  <si>
    <t>SD15L01L02</t>
  </si>
  <si>
    <t>3 fly larva, 1 antion</t>
  </si>
  <si>
    <t>SK18L05L01</t>
  </si>
  <si>
    <t>1 spider, 1 fly larva, 2 tenebrionidae</t>
  </si>
  <si>
    <t>SQ17L01L01</t>
  </si>
  <si>
    <t>SD15L01L01</t>
  </si>
  <si>
    <t>1X TENED LARV, 1XCOLEO</t>
  </si>
  <si>
    <t>SD15L05L01</t>
  </si>
  <si>
    <t>1X VELVET MITE</t>
  </si>
  <si>
    <t>SP15L01L02</t>
  </si>
  <si>
    <t>1X DIPTERA LARV</t>
  </si>
  <si>
    <t>1X SCARAB, 6X TENED LARV</t>
  </si>
  <si>
    <t>SD15L05L02</t>
  </si>
  <si>
    <t>1X SCARAB, 1X CALAHARA</t>
  </si>
  <si>
    <t>SD15L05L03</t>
  </si>
  <si>
    <t>1X COLEO LARV</t>
  </si>
  <si>
    <t>SQ17L01L02</t>
  </si>
  <si>
    <t>SP15L05L01</t>
  </si>
  <si>
    <t>4X ODONTOTERMES</t>
  </si>
  <si>
    <t>SP15L05L02</t>
  </si>
  <si>
    <t>21X TERMITES VERY LONG JAWS*</t>
  </si>
  <si>
    <t>SK18L05L03</t>
  </si>
  <si>
    <t>5X ODONTOTERMES</t>
  </si>
  <si>
    <t>32X ODONTO</t>
  </si>
  <si>
    <t>SK18L01L02</t>
  </si>
  <si>
    <t>3X ODONOT, 1X TENED LARV *CALAH</t>
  </si>
  <si>
    <t>SK18L05L02</t>
  </si>
  <si>
    <t>SK18L01L01</t>
  </si>
  <si>
    <t>SP15L01L01</t>
  </si>
  <si>
    <t>SP15L05L03</t>
  </si>
  <si>
    <t>SQ17L05L01</t>
  </si>
  <si>
    <t>SQ17L05L02</t>
  </si>
  <si>
    <t>SQ17L05L03</t>
  </si>
  <si>
    <t>SH15L01L01</t>
  </si>
  <si>
    <t>SH15L01L02</t>
  </si>
  <si>
    <t>SH15L05L01</t>
  </si>
  <si>
    <t>SH15L05L02</t>
  </si>
  <si>
    <t>SH15L05L03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</si>
</sst>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8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C8431-A4EB-4B18-9714-D11A84EC34C3}">
  <dimension ref="A1:F27"/>
  <sheetViews>
    <sheetView tabSelected="1" zoomScale="110" zoomScaleNormal="110" workbookViewId="0">
      <selection activeCell="A15" sqref="A15"/>
    </sheetView>
  </sheetViews>
  <sheetFormatPr baseColWidth="10" defaultColWidth="8.83203125" defaultRowHeight="15" x14ac:dyDescent="0.2"/>
  <cols>
    <col min="1" max="1" width="15.83203125" bestFit="1" customWidth="1"/>
    <col min="2" max="2" width="11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2">
      <c r="A2" s="4">
        <v>45950.316666666666</v>
      </c>
      <c r="B2" t="s">
        <v>11</v>
      </c>
      <c r="C2" s="2">
        <f>0.008+0.0131</f>
        <v>2.1100000000000001E-2</v>
      </c>
      <c r="D2">
        <v>2</v>
      </c>
      <c r="E2" t="s">
        <v>12</v>
      </c>
    </row>
    <row r="3" spans="1:6" x14ac:dyDescent="0.2">
      <c r="A3" s="4">
        <v>45950.317361111112</v>
      </c>
      <c r="B3" t="s">
        <v>6</v>
      </c>
      <c r="C3">
        <v>7.4099999999999999E-2</v>
      </c>
      <c r="D3">
        <v>4</v>
      </c>
      <c r="E3" t="s">
        <v>7</v>
      </c>
    </row>
    <row r="4" spans="1:6" x14ac:dyDescent="0.2">
      <c r="A4" s="4">
        <v>45950.324305555558</v>
      </c>
      <c r="B4" t="s">
        <v>13</v>
      </c>
      <c r="C4" s="2">
        <v>6.7000000000000002E-3</v>
      </c>
      <c r="D4">
        <v>1</v>
      </c>
      <c r="E4" t="s">
        <v>14</v>
      </c>
    </row>
    <row r="5" spans="1:6" x14ac:dyDescent="0.2">
      <c r="A5" s="4">
        <v>45950.324305555558</v>
      </c>
      <c r="B5" t="s">
        <v>18</v>
      </c>
      <c r="C5">
        <f>0.0041+0.0105</f>
        <v>1.4600000000000002E-2</v>
      </c>
      <c r="D5">
        <v>7</v>
      </c>
      <c r="E5" t="s">
        <v>17</v>
      </c>
    </row>
    <row r="6" spans="1:6" x14ac:dyDescent="0.2">
      <c r="A6" s="4">
        <v>45950.324999999997</v>
      </c>
      <c r="B6" t="s">
        <v>20</v>
      </c>
      <c r="C6">
        <v>8.3000000000000001E-3</v>
      </c>
      <c r="D6">
        <v>2</v>
      </c>
      <c r="E6" t="s">
        <v>19</v>
      </c>
    </row>
    <row r="7" spans="1:6" x14ac:dyDescent="0.2">
      <c r="A7" s="4">
        <v>45950.340277777781</v>
      </c>
      <c r="B7" t="s">
        <v>39</v>
      </c>
      <c r="C7">
        <v>0</v>
      </c>
      <c r="D7">
        <v>0</v>
      </c>
    </row>
    <row r="8" spans="1:6" x14ac:dyDescent="0.2">
      <c r="A8" s="4">
        <v>45950.340277777781</v>
      </c>
      <c r="B8" t="s">
        <v>40</v>
      </c>
      <c r="C8">
        <v>0</v>
      </c>
      <c r="D8">
        <v>0</v>
      </c>
    </row>
    <row r="9" spans="1:6" x14ac:dyDescent="0.2">
      <c r="A9" s="4">
        <v>45950.345138888886</v>
      </c>
      <c r="B9" t="s">
        <v>41</v>
      </c>
      <c r="C9">
        <v>0</v>
      </c>
      <c r="D9">
        <v>0</v>
      </c>
    </row>
    <row r="10" spans="1:6" x14ac:dyDescent="0.2">
      <c r="A10" s="4">
        <v>45950.345138888886</v>
      </c>
      <c r="B10" t="s">
        <v>42</v>
      </c>
      <c r="C10">
        <v>0</v>
      </c>
      <c r="D10">
        <v>0</v>
      </c>
    </row>
    <row r="11" spans="1:6" x14ac:dyDescent="0.2">
      <c r="A11" s="4">
        <v>45950.345138888886</v>
      </c>
      <c r="B11" t="s">
        <v>43</v>
      </c>
      <c r="C11">
        <v>0</v>
      </c>
      <c r="D11">
        <v>0</v>
      </c>
    </row>
    <row r="12" spans="1:6" x14ac:dyDescent="0.2">
      <c r="A12" s="4">
        <v>45950.385416666664</v>
      </c>
      <c r="B12" t="s">
        <v>33</v>
      </c>
      <c r="C12">
        <v>0</v>
      </c>
      <c r="D12">
        <v>0</v>
      </c>
    </row>
    <row r="13" spans="1:6" x14ac:dyDescent="0.2">
      <c r="A13" s="4">
        <v>45950.385416666664</v>
      </c>
      <c r="B13" t="s">
        <v>30</v>
      </c>
      <c r="C13">
        <v>4.02E-2</v>
      </c>
      <c r="D13">
        <v>33</v>
      </c>
      <c r="E13" t="s">
        <v>29</v>
      </c>
    </row>
    <row r="14" spans="1:6" x14ac:dyDescent="0.2">
      <c r="A14" s="4">
        <v>45950.392361111109</v>
      </c>
      <c r="B14" t="s">
        <v>8</v>
      </c>
      <c r="C14">
        <v>2.5600000000000001E-2</v>
      </c>
      <c r="D14">
        <v>4</v>
      </c>
      <c r="E14" t="s">
        <v>9</v>
      </c>
      <c r="F14" t="s">
        <v>5</v>
      </c>
    </row>
    <row r="15" spans="1:6" x14ac:dyDescent="0.2">
      <c r="A15" s="4">
        <v>45950.392361111109</v>
      </c>
      <c r="B15" t="s">
        <v>32</v>
      </c>
      <c r="C15">
        <v>4.1000000000000003E-3</v>
      </c>
      <c r="D15">
        <v>4</v>
      </c>
      <c r="E15" t="s">
        <v>31</v>
      </c>
    </row>
    <row r="16" spans="1:6" x14ac:dyDescent="0.2">
      <c r="A16" s="4">
        <v>45950.393055555556</v>
      </c>
      <c r="B16" t="s">
        <v>27</v>
      </c>
      <c r="C16">
        <v>4.4000000000000003E-3</v>
      </c>
      <c r="D16">
        <v>5</v>
      </c>
      <c r="E16" t="s">
        <v>28</v>
      </c>
    </row>
    <row r="17" spans="1:5" x14ac:dyDescent="0.2">
      <c r="A17" s="4">
        <v>45950.463194444441</v>
      </c>
      <c r="B17" t="s">
        <v>34</v>
      </c>
      <c r="C17">
        <v>0</v>
      </c>
      <c r="D17">
        <v>0</v>
      </c>
    </row>
    <row r="18" spans="1:5" x14ac:dyDescent="0.2">
      <c r="A18" s="4">
        <v>45950.463194444441</v>
      </c>
      <c r="B18" t="s">
        <v>15</v>
      </c>
      <c r="C18">
        <v>4.4999999999999997E-3</v>
      </c>
      <c r="D18">
        <v>1</v>
      </c>
      <c r="E18" t="s">
        <v>16</v>
      </c>
    </row>
    <row r="19" spans="1:5" x14ac:dyDescent="0.2">
      <c r="A19" s="4">
        <v>45950.476388888892</v>
      </c>
      <c r="B19" t="s">
        <v>23</v>
      </c>
      <c r="C19">
        <v>2.7099999999999999E-2</v>
      </c>
      <c r="D19">
        <v>1</v>
      </c>
      <c r="E19" s="3" t="s">
        <v>16</v>
      </c>
    </row>
    <row r="20" spans="1:5" x14ac:dyDescent="0.2">
      <c r="A20" s="4">
        <v>45950.476388888892</v>
      </c>
      <c r="B20" t="s">
        <v>25</v>
      </c>
      <c r="C20">
        <v>2.7099999999999999E-2</v>
      </c>
      <c r="D20">
        <v>21</v>
      </c>
      <c r="E20" t="s">
        <v>26</v>
      </c>
    </row>
    <row r="21" spans="1:5" x14ac:dyDescent="0.2">
      <c r="A21" s="4">
        <v>45950.476388888892</v>
      </c>
      <c r="B21" t="s">
        <v>35</v>
      </c>
      <c r="C21">
        <v>0</v>
      </c>
      <c r="D21">
        <v>0</v>
      </c>
    </row>
    <row r="22" spans="1:5" x14ac:dyDescent="0.2">
      <c r="A22" s="4">
        <v>45950.426388888889</v>
      </c>
      <c r="B22" t="s">
        <v>10</v>
      </c>
      <c r="C22">
        <v>3.0999999999999999E-3</v>
      </c>
      <c r="D22">
        <v>4</v>
      </c>
      <c r="E22" t="s">
        <v>24</v>
      </c>
    </row>
    <row r="23" spans="1:5" x14ac:dyDescent="0.2">
      <c r="A23" s="4">
        <v>45950.426388888889</v>
      </c>
      <c r="B23" t="s">
        <v>22</v>
      </c>
      <c r="C23">
        <v>7.85E-2</v>
      </c>
      <c r="D23">
        <v>1</v>
      </c>
      <c r="E23" t="s">
        <v>21</v>
      </c>
    </row>
    <row r="24" spans="1:5" x14ac:dyDescent="0.2">
      <c r="A24" s="4">
        <v>45950.43472222222</v>
      </c>
      <c r="B24" t="s">
        <v>36</v>
      </c>
      <c r="C24">
        <v>0</v>
      </c>
      <c r="D24">
        <v>0</v>
      </c>
    </row>
    <row r="25" spans="1:5" x14ac:dyDescent="0.2">
      <c r="A25" s="4">
        <v>45950.43472222222</v>
      </c>
      <c r="B25" t="s">
        <v>37</v>
      </c>
      <c r="C25">
        <v>0</v>
      </c>
      <c r="D25">
        <v>0</v>
      </c>
    </row>
    <row r="26" spans="1:5" x14ac:dyDescent="0.2">
      <c r="A26" s="4">
        <v>45950.43472222222</v>
      </c>
      <c r="B26" t="s">
        <v>38</v>
      </c>
      <c r="C26">
        <v>0</v>
      </c>
      <c r="D26">
        <v>0</v>
      </c>
    </row>
    <row r="27" spans="1:5" x14ac:dyDescent="0.2">
      <c r="C27" s="2"/>
    </row>
  </sheetData>
  <autoFilter ref="A1:E15" xr:uid="{D92C8431-A4EB-4B18-9714-D11A84EC34C3}">
    <sortState xmlns:xlrd2="http://schemas.microsoft.com/office/spreadsheetml/2017/richdata2" ref="A2:E15">
      <sortCondition ref="B2:B15"/>
    </sortState>
  </autoFilter>
  <sortState xmlns:xlrd2="http://schemas.microsoft.com/office/spreadsheetml/2017/richdata2" ref="A2:E26">
    <sortCondition ref="B2:B26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maria paniw</cp:lastModifiedBy>
  <dcterms:created xsi:type="dcterms:W3CDTF">2025-09-24T06:26:25Z</dcterms:created>
  <dcterms:modified xsi:type="dcterms:W3CDTF">2026-01-12T11:36:19Z</dcterms:modified>
</cp:coreProperties>
</file>